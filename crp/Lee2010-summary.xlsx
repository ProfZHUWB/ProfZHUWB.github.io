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Full Comparision" sheetId="1" r:id="rId1"/>
    <sheet name="Comparsion" sheetId="3" r:id="rId2"/>
  </sheets>
  <calcPr calcId="125725"/>
</workbook>
</file>

<file path=xl/calcChain.xml><?xml version="1.0" encoding="utf-8"?>
<calcChain xmlns="http://schemas.openxmlformats.org/spreadsheetml/2006/main">
  <c r="T5" i="3"/>
  <c r="T6"/>
  <c r="T7"/>
  <c r="T8"/>
  <c r="T9"/>
  <c r="T10"/>
  <c r="T11"/>
  <c r="T12"/>
  <c r="T13"/>
  <c r="T14"/>
  <c r="T15"/>
  <c r="T16"/>
  <c r="T17"/>
  <c r="T4"/>
  <c r="O5"/>
  <c r="O6"/>
  <c r="O7"/>
  <c r="O8"/>
  <c r="O9"/>
  <c r="O10"/>
  <c r="O11"/>
  <c r="O12"/>
  <c r="O13"/>
  <c r="O14"/>
  <c r="O15"/>
  <c r="O16"/>
  <c r="O17"/>
  <c r="O4"/>
  <c r="P5"/>
  <c r="P6"/>
  <c r="P7"/>
  <c r="P8"/>
  <c r="P9"/>
  <c r="P10"/>
  <c r="P11"/>
  <c r="P12"/>
  <c r="P13"/>
  <c r="P14"/>
  <c r="P15"/>
  <c r="P16"/>
  <c r="P17"/>
  <c r="P4"/>
  <c r="P5" i="1"/>
  <c r="P6"/>
  <c r="P7"/>
  <c r="P8"/>
  <c r="P9"/>
  <c r="P10"/>
  <c r="P11"/>
  <c r="P12"/>
  <c r="P13"/>
  <c r="P14"/>
  <c r="P15"/>
  <c r="P16"/>
  <c r="P17"/>
  <c r="P4"/>
  <c r="G5"/>
  <c r="G6"/>
  <c r="G7"/>
  <c r="G8"/>
  <c r="G9"/>
  <c r="G10"/>
  <c r="G11"/>
  <c r="G12"/>
  <c r="G13"/>
  <c r="G14"/>
  <c r="G15"/>
  <c r="G16"/>
  <c r="G17"/>
  <c r="G4"/>
  <c r="L5"/>
  <c r="L6"/>
  <c r="L7"/>
  <c r="L8"/>
  <c r="L9"/>
  <c r="L10"/>
  <c r="L11"/>
  <c r="L12"/>
  <c r="L13"/>
  <c r="L4"/>
  <c r="I5"/>
  <c r="I6"/>
  <c r="I7"/>
  <c r="I8"/>
  <c r="I9"/>
  <c r="I10"/>
  <c r="I11"/>
  <c r="I12"/>
  <c r="I13"/>
  <c r="I14"/>
  <c r="I15"/>
  <c r="I16"/>
  <c r="I17"/>
  <c r="I4"/>
</calcChain>
</file>

<file path=xl/sharedStrings.xml><?xml version="1.0" encoding="utf-8"?>
<sst xmlns="http://schemas.openxmlformats.org/spreadsheetml/2006/main" count="90" uniqueCount="40">
  <si>
    <t>Instance</t>
  </si>
  <si>
    <t>R011606_0070_001</t>
  </si>
  <si>
    <t>R011606_0070_002</t>
  </si>
  <si>
    <t>R011606_0070_003</t>
  </si>
  <si>
    <t>R011606_0070_004</t>
  </si>
  <si>
    <t>R011606_0070_005</t>
  </si>
  <si>
    <t>R011608_0090_001</t>
  </si>
  <si>
    <t>R011608_0090_002</t>
  </si>
  <si>
    <t>R011608_0090_003</t>
  </si>
  <si>
    <t>R011608_0090_004</t>
  </si>
  <si>
    <t>R011608_0090_005</t>
  </si>
  <si>
    <t>U011606_0070_001</t>
  </si>
  <si>
    <t>U011606_0070_002</t>
  </si>
  <si>
    <t>U011608_0090_001</t>
  </si>
  <si>
    <t>U011608_0090_002</t>
  </si>
  <si>
    <t>T</t>
  </si>
  <si>
    <t>S</t>
  </si>
  <si>
    <t>ID</t>
  </si>
  <si>
    <t>Move</t>
  </si>
  <si>
    <t>Reloc</t>
  </si>
  <si>
    <t>time(s)</t>
  </si>
  <si>
    <t>N</t>
  </si>
  <si>
    <t>Lee and Lee (2010)</t>
  </si>
  <si>
    <t>LB</t>
  </si>
  <si>
    <t>Kim and Hong</t>
  </si>
  <si>
    <t>-</t>
  </si>
  <si>
    <t>Extracted from Table 1, page 1145, Lee and Lee 2010, COR</t>
  </si>
  <si>
    <t>Extracted from Table 3, page 1146, Lee and Lee 2010, COR</t>
  </si>
  <si>
    <t>Extracted from Table 2, page 1146, Lee and Lee 2010, COR</t>
  </si>
  <si>
    <t>IDA*-R</t>
  </si>
  <si>
    <t>LB (move)</t>
  </si>
  <si>
    <t>ImprLL</t>
  </si>
  <si>
    <t>Lee &amp; Lee studied to minimize time span of containre relocation problem</t>
  </si>
  <si>
    <t>Considered Multiple Bay</t>
  </si>
  <si>
    <t>Only use restricted moves</t>
  </si>
  <si>
    <t>Compared with Kim and Hong when bay=1, and only count number of relocation</t>
  </si>
  <si>
    <t>Gap opt.</t>
  </si>
  <si>
    <t>IDA*-R (1s)</t>
  </si>
  <si>
    <t>IDA*-UM3 (1s)</t>
  </si>
  <si>
    <t>IDA*-UM3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</si>
</sst>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S28"/>
  <sheetViews>
    <sheetView tabSelected="1" workbookViewId="0">
      <selection activeCell="P20" sqref="P20"/>
    </sheetView>
  </sheetViews>
  <sheetFormatPr defaultRowHeight="15"/>
  <cols>
    <col min="7" max="7" width="9.140625" style="5"/>
  </cols>
  <sheetData>
    <row r="2" spans="2:19">
      <c r="B2" s="7" t="s">
        <v>0</v>
      </c>
      <c r="C2" s="7"/>
      <c r="D2" s="7"/>
      <c r="E2" s="7"/>
      <c r="F2" s="7" t="s">
        <v>22</v>
      </c>
      <c r="G2" s="7"/>
      <c r="H2" s="7"/>
      <c r="I2" s="7"/>
      <c r="J2" s="7"/>
      <c r="K2" s="7" t="s">
        <v>24</v>
      </c>
      <c r="L2" s="7"/>
      <c r="M2" s="7" t="s">
        <v>29</v>
      </c>
      <c r="N2" s="7"/>
      <c r="O2" s="7"/>
      <c r="P2" s="7"/>
      <c r="Q2" s="7" t="s">
        <v>39</v>
      </c>
      <c r="R2" s="7"/>
      <c r="S2" s="7"/>
    </row>
    <row r="3" spans="2:19">
      <c r="B3" s="2" t="s">
        <v>17</v>
      </c>
      <c r="C3" s="2" t="s">
        <v>15</v>
      </c>
      <c r="D3" t="s">
        <v>16</v>
      </c>
      <c r="E3" t="s">
        <v>21</v>
      </c>
      <c r="F3" s="2" t="s">
        <v>30</v>
      </c>
      <c r="G3" s="5" t="s">
        <v>23</v>
      </c>
      <c r="H3" s="2" t="s">
        <v>18</v>
      </c>
      <c r="I3" t="s">
        <v>19</v>
      </c>
      <c r="J3" s="2" t="s">
        <v>20</v>
      </c>
      <c r="K3" s="4" t="s">
        <v>18</v>
      </c>
      <c r="L3" t="s">
        <v>19</v>
      </c>
      <c r="M3" t="s">
        <v>23</v>
      </c>
      <c r="N3" t="s">
        <v>19</v>
      </c>
      <c r="O3" t="s">
        <v>20</v>
      </c>
      <c r="P3" t="s">
        <v>31</v>
      </c>
      <c r="Q3" t="s">
        <v>23</v>
      </c>
      <c r="R3" t="s">
        <v>19</v>
      </c>
      <c r="S3" t="s">
        <v>20</v>
      </c>
    </row>
    <row r="4" spans="2:19">
      <c r="B4" s="2" t="s">
        <v>1</v>
      </c>
      <c r="C4" s="2">
        <v>6</v>
      </c>
      <c r="D4">
        <v>16</v>
      </c>
      <c r="E4">
        <v>70</v>
      </c>
      <c r="F4" s="2">
        <v>100</v>
      </c>
      <c r="G4" s="5">
        <f>F4-E4</f>
        <v>30</v>
      </c>
      <c r="H4" s="2">
        <v>118</v>
      </c>
      <c r="I4">
        <f t="shared" ref="I4:I17" si="0">H4-E4</f>
        <v>48</v>
      </c>
      <c r="J4" s="2">
        <v>6304.28</v>
      </c>
      <c r="K4" s="4">
        <v>173</v>
      </c>
      <c r="L4">
        <f>K4-E4</f>
        <v>103</v>
      </c>
      <c r="M4">
        <v>36</v>
      </c>
      <c r="N4">
        <v>37</v>
      </c>
      <c r="O4">
        <v>1</v>
      </c>
      <c r="P4" s="6">
        <f>1-N4/I4</f>
        <v>0.22916666666666663</v>
      </c>
      <c r="Q4">
        <v>31</v>
      </c>
      <c r="R4">
        <v>36</v>
      </c>
      <c r="S4">
        <v>1</v>
      </c>
    </row>
    <row r="5" spans="2:19">
      <c r="B5" s="2" t="s">
        <v>2</v>
      </c>
      <c r="C5" s="2">
        <v>6</v>
      </c>
      <c r="D5">
        <v>16</v>
      </c>
      <c r="E5">
        <v>70</v>
      </c>
      <c r="F5" s="2">
        <v>104</v>
      </c>
      <c r="G5" s="5">
        <f t="shared" ref="G5:G17" si="1">F5-E5</f>
        <v>34</v>
      </c>
      <c r="H5" s="2">
        <v>117</v>
      </c>
      <c r="I5">
        <f t="shared" si="0"/>
        <v>47</v>
      </c>
      <c r="J5" s="2">
        <v>11081.03</v>
      </c>
      <c r="K5" s="4">
        <v>174</v>
      </c>
      <c r="L5">
        <f t="shared" ref="L5:L13" si="2">K5-E5</f>
        <v>104</v>
      </c>
      <c r="M5">
        <v>37</v>
      </c>
      <c r="N5">
        <v>38</v>
      </c>
      <c r="O5">
        <v>1</v>
      </c>
      <c r="P5" s="6">
        <f t="shared" ref="P5:P17" si="3">1-N5/I5</f>
        <v>0.19148936170212771</v>
      </c>
      <c r="Q5">
        <v>34</v>
      </c>
      <c r="R5">
        <v>36</v>
      </c>
      <c r="S5">
        <v>1</v>
      </c>
    </row>
    <row r="6" spans="2:19">
      <c r="B6" s="2" t="s">
        <v>3</v>
      </c>
      <c r="C6" s="2">
        <v>6</v>
      </c>
      <c r="D6">
        <v>16</v>
      </c>
      <c r="E6">
        <v>70</v>
      </c>
      <c r="F6" s="2">
        <v>104</v>
      </c>
      <c r="G6" s="5">
        <f t="shared" si="1"/>
        <v>34</v>
      </c>
      <c r="H6" s="2">
        <v>110</v>
      </c>
      <c r="I6">
        <f t="shared" si="0"/>
        <v>40</v>
      </c>
      <c r="J6" s="2">
        <v>5501.92</v>
      </c>
      <c r="K6" s="4">
        <v>176</v>
      </c>
      <c r="L6">
        <f t="shared" si="2"/>
        <v>106</v>
      </c>
      <c r="M6">
        <v>38</v>
      </c>
      <c r="N6">
        <v>38</v>
      </c>
      <c r="O6">
        <v>1</v>
      </c>
      <c r="P6" s="6">
        <f t="shared" si="3"/>
        <v>5.0000000000000044E-2</v>
      </c>
      <c r="Q6">
        <v>35</v>
      </c>
      <c r="R6">
        <v>35</v>
      </c>
      <c r="S6">
        <v>1</v>
      </c>
    </row>
    <row r="7" spans="2:19">
      <c r="B7" s="2" t="s">
        <v>4</v>
      </c>
      <c r="C7" s="2">
        <v>6</v>
      </c>
      <c r="D7">
        <v>16</v>
      </c>
      <c r="E7">
        <v>70</v>
      </c>
      <c r="F7" s="2">
        <v>108</v>
      </c>
      <c r="G7" s="5">
        <f t="shared" si="1"/>
        <v>38</v>
      </c>
      <c r="H7" s="2">
        <v>158</v>
      </c>
      <c r="I7">
        <f t="shared" si="0"/>
        <v>88</v>
      </c>
      <c r="J7" s="2">
        <v>9026.42</v>
      </c>
      <c r="K7" s="4">
        <v>182</v>
      </c>
      <c r="L7">
        <f t="shared" si="2"/>
        <v>112</v>
      </c>
      <c r="M7">
        <v>41</v>
      </c>
      <c r="N7">
        <v>47</v>
      </c>
      <c r="O7">
        <v>1</v>
      </c>
      <c r="P7" s="6">
        <f t="shared" si="3"/>
        <v>0.46590909090909094</v>
      </c>
      <c r="Q7">
        <v>38</v>
      </c>
      <c r="R7">
        <v>43</v>
      </c>
      <c r="S7">
        <v>1</v>
      </c>
    </row>
    <row r="8" spans="2:19">
      <c r="B8" s="2" t="s">
        <v>5</v>
      </c>
      <c r="C8" s="2">
        <v>6</v>
      </c>
      <c r="D8">
        <v>16</v>
      </c>
      <c r="E8">
        <v>70</v>
      </c>
      <c r="F8" s="2">
        <v>106</v>
      </c>
      <c r="G8" s="5">
        <f t="shared" si="1"/>
        <v>36</v>
      </c>
      <c r="H8" s="2">
        <v>124</v>
      </c>
      <c r="I8">
        <f t="shared" si="0"/>
        <v>54</v>
      </c>
      <c r="J8" s="2">
        <v>9107.9699999999993</v>
      </c>
      <c r="K8" s="4">
        <v>184</v>
      </c>
      <c r="L8">
        <f t="shared" si="2"/>
        <v>114</v>
      </c>
      <c r="M8">
        <v>40</v>
      </c>
      <c r="N8">
        <v>40</v>
      </c>
      <c r="O8">
        <v>1</v>
      </c>
      <c r="P8" s="6">
        <f t="shared" si="3"/>
        <v>0.2592592592592593</v>
      </c>
      <c r="Q8">
        <v>36</v>
      </c>
      <c r="R8">
        <v>40</v>
      </c>
      <c r="S8">
        <v>1</v>
      </c>
    </row>
    <row r="9" spans="2:19">
      <c r="B9" s="2" t="s">
        <v>6</v>
      </c>
      <c r="C9" s="2">
        <v>8</v>
      </c>
      <c r="D9">
        <v>16</v>
      </c>
      <c r="E9">
        <v>90</v>
      </c>
      <c r="F9" s="2">
        <v>143</v>
      </c>
      <c r="G9" s="5">
        <f t="shared" si="1"/>
        <v>53</v>
      </c>
      <c r="H9" s="2">
        <v>190</v>
      </c>
      <c r="I9">
        <f t="shared" si="0"/>
        <v>100</v>
      </c>
      <c r="J9" s="2">
        <v>13268.67</v>
      </c>
      <c r="K9" s="4">
        <v>303</v>
      </c>
      <c r="L9">
        <f t="shared" si="2"/>
        <v>213</v>
      </c>
      <c r="M9">
        <v>59</v>
      </c>
      <c r="N9">
        <v>64</v>
      </c>
      <c r="O9">
        <v>1</v>
      </c>
      <c r="P9" s="6">
        <f t="shared" si="3"/>
        <v>0.36</v>
      </c>
      <c r="Q9">
        <v>53</v>
      </c>
      <c r="R9">
        <v>58</v>
      </c>
      <c r="S9">
        <v>1</v>
      </c>
    </row>
    <row r="10" spans="2:19">
      <c r="B10" s="2" t="s">
        <v>7</v>
      </c>
      <c r="C10" s="2">
        <v>8</v>
      </c>
      <c r="D10">
        <v>16</v>
      </c>
      <c r="E10">
        <v>90</v>
      </c>
      <c r="F10" s="2">
        <v>139</v>
      </c>
      <c r="G10" s="5">
        <f t="shared" si="1"/>
        <v>49</v>
      </c>
      <c r="H10" s="2">
        <v>191</v>
      </c>
      <c r="I10">
        <f t="shared" si="0"/>
        <v>101</v>
      </c>
      <c r="J10" s="2">
        <v>11134.63</v>
      </c>
      <c r="K10" s="4">
        <v>253</v>
      </c>
      <c r="L10">
        <f t="shared" si="2"/>
        <v>163</v>
      </c>
      <c r="M10">
        <v>61</v>
      </c>
      <c r="N10">
        <v>61</v>
      </c>
      <c r="O10">
        <v>1</v>
      </c>
      <c r="P10" s="6">
        <f t="shared" si="3"/>
        <v>0.39603960396039606</v>
      </c>
      <c r="Q10">
        <v>49</v>
      </c>
      <c r="R10">
        <v>59</v>
      </c>
      <c r="S10">
        <v>1</v>
      </c>
    </row>
    <row r="11" spans="2:19">
      <c r="B11" s="2" t="s">
        <v>8</v>
      </c>
      <c r="C11" s="2">
        <v>8</v>
      </c>
      <c r="D11">
        <v>16</v>
      </c>
      <c r="E11">
        <v>90</v>
      </c>
      <c r="F11" s="2">
        <v>142</v>
      </c>
      <c r="G11" s="5">
        <f t="shared" si="1"/>
        <v>52</v>
      </c>
      <c r="H11" s="2">
        <v>216</v>
      </c>
      <c r="I11">
        <f t="shared" si="0"/>
        <v>126</v>
      </c>
      <c r="J11" s="2">
        <v>21583.13</v>
      </c>
      <c r="K11" s="4">
        <v>315</v>
      </c>
      <c r="L11">
        <f t="shared" si="2"/>
        <v>225</v>
      </c>
      <c r="M11">
        <v>60</v>
      </c>
      <c r="N11">
        <v>66</v>
      </c>
      <c r="O11">
        <v>1</v>
      </c>
      <c r="P11" s="6">
        <f t="shared" si="3"/>
        <v>0.47619047619047616</v>
      </c>
      <c r="Q11">
        <v>53</v>
      </c>
      <c r="R11">
        <v>60</v>
      </c>
      <c r="S11">
        <v>1</v>
      </c>
    </row>
    <row r="12" spans="2:19">
      <c r="B12" s="2" t="s">
        <v>9</v>
      </c>
      <c r="C12" s="2">
        <v>8</v>
      </c>
      <c r="D12">
        <v>16</v>
      </c>
      <c r="E12">
        <v>90</v>
      </c>
      <c r="F12" s="2">
        <v>143</v>
      </c>
      <c r="G12" s="5">
        <f t="shared" si="1"/>
        <v>53</v>
      </c>
      <c r="H12" s="2">
        <v>178</v>
      </c>
      <c r="I12">
        <f t="shared" si="0"/>
        <v>88</v>
      </c>
      <c r="J12" s="2">
        <v>7042.38</v>
      </c>
      <c r="K12" s="4">
        <v>283</v>
      </c>
      <c r="L12">
        <f t="shared" si="2"/>
        <v>193</v>
      </c>
      <c r="M12">
        <v>58</v>
      </c>
      <c r="N12">
        <v>61</v>
      </c>
      <c r="O12">
        <v>1</v>
      </c>
      <c r="P12" s="6">
        <f t="shared" si="3"/>
        <v>0.30681818181818177</v>
      </c>
      <c r="Q12">
        <v>53</v>
      </c>
      <c r="R12">
        <v>58</v>
      </c>
      <c r="S12">
        <v>1</v>
      </c>
    </row>
    <row r="13" spans="2:19">
      <c r="B13" s="2" t="s">
        <v>10</v>
      </c>
      <c r="C13" s="2">
        <v>8</v>
      </c>
      <c r="D13">
        <v>16</v>
      </c>
      <c r="E13">
        <v>90</v>
      </c>
      <c r="F13" s="2">
        <v>143</v>
      </c>
      <c r="G13" s="5">
        <f t="shared" si="1"/>
        <v>53</v>
      </c>
      <c r="H13" s="2">
        <v>182</v>
      </c>
      <c r="I13">
        <f t="shared" si="0"/>
        <v>92</v>
      </c>
      <c r="J13" s="2">
        <v>13738</v>
      </c>
      <c r="K13" s="4">
        <v>283</v>
      </c>
      <c r="L13">
        <f t="shared" si="2"/>
        <v>193</v>
      </c>
      <c r="M13">
        <v>55</v>
      </c>
      <c r="N13">
        <v>63</v>
      </c>
      <c r="O13">
        <v>1</v>
      </c>
      <c r="P13" s="6">
        <f t="shared" si="3"/>
        <v>0.31521739130434778</v>
      </c>
      <c r="Q13">
        <v>53</v>
      </c>
      <c r="R13">
        <v>57</v>
      </c>
      <c r="S13">
        <v>1</v>
      </c>
    </row>
    <row r="14" spans="2:19">
      <c r="B14" s="3" t="s">
        <v>11</v>
      </c>
      <c r="C14" s="3">
        <v>6</v>
      </c>
      <c r="D14">
        <v>16</v>
      </c>
      <c r="E14">
        <v>70</v>
      </c>
      <c r="F14" s="3">
        <v>125</v>
      </c>
      <c r="G14" s="5">
        <f t="shared" si="1"/>
        <v>55</v>
      </c>
      <c r="H14" s="3">
        <v>125</v>
      </c>
      <c r="I14">
        <f t="shared" si="0"/>
        <v>55</v>
      </c>
      <c r="J14" s="3">
        <v>17326.310000000001</v>
      </c>
      <c r="K14" t="s">
        <v>25</v>
      </c>
      <c r="L14" t="s">
        <v>25</v>
      </c>
      <c r="M14">
        <v>55</v>
      </c>
      <c r="N14">
        <v>55</v>
      </c>
      <c r="O14">
        <v>1</v>
      </c>
      <c r="P14" s="6">
        <f t="shared" si="3"/>
        <v>0</v>
      </c>
      <c r="Q14">
        <v>55</v>
      </c>
      <c r="R14">
        <v>55</v>
      </c>
      <c r="S14">
        <v>1</v>
      </c>
    </row>
    <row r="15" spans="2:19">
      <c r="B15" s="3" t="s">
        <v>12</v>
      </c>
      <c r="C15" s="3">
        <v>6</v>
      </c>
      <c r="D15">
        <v>16</v>
      </c>
      <c r="E15">
        <v>70</v>
      </c>
      <c r="F15" s="3">
        <v>124</v>
      </c>
      <c r="G15" s="5">
        <f t="shared" si="1"/>
        <v>54</v>
      </c>
      <c r="H15" s="3">
        <v>130</v>
      </c>
      <c r="I15">
        <f t="shared" si="0"/>
        <v>60</v>
      </c>
      <c r="J15" s="3">
        <v>11243.4</v>
      </c>
      <c r="K15" t="s">
        <v>25</v>
      </c>
      <c r="L15" t="s">
        <v>25</v>
      </c>
      <c r="M15">
        <v>58</v>
      </c>
      <c r="N15">
        <v>58</v>
      </c>
      <c r="O15">
        <v>1</v>
      </c>
      <c r="P15" s="6">
        <f t="shared" si="3"/>
        <v>3.3333333333333326E-2</v>
      </c>
      <c r="Q15">
        <v>55</v>
      </c>
      <c r="R15">
        <v>55</v>
      </c>
      <c r="S15">
        <v>1</v>
      </c>
    </row>
    <row r="16" spans="2:19">
      <c r="B16" s="3" t="s">
        <v>13</v>
      </c>
      <c r="C16" s="3">
        <v>8</v>
      </c>
      <c r="D16">
        <v>16</v>
      </c>
      <c r="E16">
        <v>90</v>
      </c>
      <c r="F16" s="3">
        <v>164</v>
      </c>
      <c r="G16" s="5">
        <f t="shared" si="1"/>
        <v>74</v>
      </c>
      <c r="H16" s="3">
        <v>175</v>
      </c>
      <c r="I16">
        <f t="shared" si="0"/>
        <v>85</v>
      </c>
      <c r="J16" s="3">
        <v>15715.4</v>
      </c>
      <c r="K16" t="s">
        <v>25</v>
      </c>
      <c r="L16" t="s">
        <v>25</v>
      </c>
      <c r="M16">
        <v>76</v>
      </c>
      <c r="N16">
        <v>76</v>
      </c>
      <c r="O16">
        <v>1</v>
      </c>
      <c r="P16" s="6">
        <f t="shared" si="3"/>
        <v>0.10588235294117643</v>
      </c>
      <c r="Q16">
        <v>75</v>
      </c>
      <c r="R16">
        <v>75</v>
      </c>
      <c r="S16">
        <v>1</v>
      </c>
    </row>
    <row r="17" spans="2:19">
      <c r="B17" s="3" t="s">
        <v>14</v>
      </c>
      <c r="C17" s="3">
        <v>8</v>
      </c>
      <c r="D17">
        <v>16</v>
      </c>
      <c r="E17">
        <v>90</v>
      </c>
      <c r="F17" s="3">
        <v>164</v>
      </c>
      <c r="G17" s="5">
        <f t="shared" si="1"/>
        <v>74</v>
      </c>
      <c r="H17" s="3">
        <v>180</v>
      </c>
      <c r="I17">
        <f t="shared" si="0"/>
        <v>90</v>
      </c>
      <c r="J17" s="3">
        <v>16235.8</v>
      </c>
      <c r="K17" t="s">
        <v>25</v>
      </c>
      <c r="L17" t="s">
        <v>25</v>
      </c>
      <c r="M17">
        <v>78</v>
      </c>
      <c r="N17">
        <v>78</v>
      </c>
      <c r="O17">
        <v>1</v>
      </c>
      <c r="P17" s="6">
        <f t="shared" si="3"/>
        <v>0.1333333333333333</v>
      </c>
      <c r="Q17">
        <v>74</v>
      </c>
      <c r="R17">
        <v>75</v>
      </c>
      <c r="S17">
        <v>1</v>
      </c>
    </row>
    <row r="20" spans="2:19">
      <c r="B20" s="2" t="s">
        <v>26</v>
      </c>
    </row>
    <row r="21" spans="2:19">
      <c r="B21" s="3" t="s">
        <v>27</v>
      </c>
    </row>
    <row r="22" spans="2:19">
      <c r="B22" s="4" t="s">
        <v>28</v>
      </c>
    </row>
    <row r="25" spans="2:19">
      <c r="B25" t="s">
        <v>32</v>
      </c>
    </row>
    <row r="26" spans="2:19">
      <c r="C26" t="s">
        <v>33</v>
      </c>
    </row>
    <row r="27" spans="2:19">
      <c r="C27" t="s">
        <v>34</v>
      </c>
    </row>
    <row r="28" spans="2:19">
      <c r="C28" t="s">
        <v>35</v>
      </c>
    </row>
  </sheetData>
  <mergeCells count="5">
    <mergeCell ref="Q2:S2"/>
    <mergeCell ref="M2:P2"/>
    <mergeCell ref="B2:E2"/>
    <mergeCell ref="F2:J2"/>
    <mergeCell ref="K2:L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T17"/>
  <sheetViews>
    <sheetView workbookViewId="0">
      <selection activeCell="R2" sqref="R2:T2"/>
    </sheetView>
  </sheetViews>
  <sheetFormatPr defaultRowHeight="15"/>
  <cols>
    <col min="2" max="2" width="17.5703125" bestFit="1" customWidth="1"/>
    <col min="3" max="3" width="2" bestFit="1" customWidth="1"/>
    <col min="4" max="5" width="3" bestFit="1" customWidth="1"/>
    <col min="6" max="6" width="3" customWidth="1"/>
    <col min="7" max="7" width="3" bestFit="1" customWidth="1"/>
    <col min="8" max="8" width="5.85546875" bestFit="1" customWidth="1"/>
    <col min="10" max="10" width="3.28515625" customWidth="1"/>
    <col min="11" max="11" width="6.5703125" customWidth="1"/>
    <col min="12" max="12" width="5.28515625" customWidth="1"/>
    <col min="13" max="13" width="3" bestFit="1" customWidth="1"/>
    <col min="17" max="17" width="4.7109375" customWidth="1"/>
    <col min="18" max="18" width="3" bestFit="1" customWidth="1"/>
    <col min="19" max="19" width="5.85546875" bestFit="1" customWidth="1"/>
  </cols>
  <sheetData>
    <row r="2" spans="2:20">
      <c r="B2" s="7" t="s">
        <v>0</v>
      </c>
      <c r="C2" s="7"/>
      <c r="D2" s="7"/>
      <c r="E2" s="7"/>
      <c r="F2" s="1"/>
      <c r="G2" s="7" t="s">
        <v>22</v>
      </c>
      <c r="H2" s="7"/>
      <c r="I2" s="7"/>
      <c r="J2" s="1"/>
      <c r="K2" t="s">
        <v>24</v>
      </c>
      <c r="M2" s="7" t="s">
        <v>37</v>
      </c>
      <c r="N2" s="7"/>
      <c r="O2" s="7"/>
      <c r="P2" s="7"/>
      <c r="R2" s="7" t="s">
        <v>38</v>
      </c>
      <c r="S2" s="7"/>
      <c r="T2" s="7"/>
    </row>
    <row r="3" spans="2:20">
      <c r="B3" t="s">
        <v>17</v>
      </c>
      <c r="C3" t="s">
        <v>15</v>
      </c>
      <c r="D3" t="s">
        <v>16</v>
      </c>
      <c r="E3" t="s">
        <v>21</v>
      </c>
      <c r="G3" t="s">
        <v>23</v>
      </c>
      <c r="H3" t="s">
        <v>19</v>
      </c>
      <c r="I3" t="s">
        <v>20</v>
      </c>
      <c r="K3" t="s">
        <v>19</v>
      </c>
      <c r="M3" t="s">
        <v>23</v>
      </c>
      <c r="N3" t="s">
        <v>19</v>
      </c>
      <c r="O3" t="s">
        <v>36</v>
      </c>
      <c r="P3" t="s">
        <v>31</v>
      </c>
      <c r="R3" t="s">
        <v>23</v>
      </c>
      <c r="S3" t="s">
        <v>19</v>
      </c>
      <c r="T3" t="s">
        <v>31</v>
      </c>
    </row>
    <row r="4" spans="2:20">
      <c r="B4" t="s">
        <v>1</v>
      </c>
      <c r="C4">
        <v>6</v>
      </c>
      <c r="D4">
        <v>16</v>
      </c>
      <c r="E4">
        <v>70</v>
      </c>
      <c r="G4">
        <v>30</v>
      </c>
      <c r="H4">
        <v>48</v>
      </c>
      <c r="I4">
        <v>6304.28</v>
      </c>
      <c r="K4">
        <v>103</v>
      </c>
      <c r="M4">
        <v>36</v>
      </c>
      <c r="N4">
        <v>37</v>
      </c>
      <c r="O4" s="6">
        <f>N4/M4-1</f>
        <v>2.7777777777777679E-2</v>
      </c>
      <c r="P4" s="6">
        <f>1-N4/H4</f>
        <v>0.22916666666666663</v>
      </c>
      <c r="R4">
        <v>31</v>
      </c>
      <c r="S4">
        <v>36</v>
      </c>
      <c r="T4" s="6">
        <f>1-S4/H4</f>
        <v>0.25</v>
      </c>
    </row>
    <row r="5" spans="2:20">
      <c r="B5" t="s">
        <v>2</v>
      </c>
      <c r="C5">
        <v>6</v>
      </c>
      <c r="D5">
        <v>16</v>
      </c>
      <c r="E5">
        <v>70</v>
      </c>
      <c r="G5">
        <v>34</v>
      </c>
      <c r="H5">
        <v>47</v>
      </c>
      <c r="I5">
        <v>11081.03</v>
      </c>
      <c r="K5">
        <v>104</v>
      </c>
      <c r="M5">
        <v>37</v>
      </c>
      <c r="N5">
        <v>38</v>
      </c>
      <c r="O5" s="6">
        <f t="shared" ref="O5:O17" si="0">N5/M5-1</f>
        <v>2.7027027027026973E-2</v>
      </c>
      <c r="P5" s="6">
        <f t="shared" ref="P5:P17" si="1">1-N5/H5</f>
        <v>0.19148936170212771</v>
      </c>
      <c r="R5">
        <v>34</v>
      </c>
      <c r="S5">
        <v>36</v>
      </c>
      <c r="T5" s="6">
        <f t="shared" ref="T5:T17" si="2">1-S5/H5</f>
        <v>0.23404255319148937</v>
      </c>
    </row>
    <row r="6" spans="2:20">
      <c r="B6" t="s">
        <v>3</v>
      </c>
      <c r="C6">
        <v>6</v>
      </c>
      <c r="D6">
        <v>16</v>
      </c>
      <c r="E6">
        <v>70</v>
      </c>
      <c r="G6">
        <v>34</v>
      </c>
      <c r="H6">
        <v>40</v>
      </c>
      <c r="I6">
        <v>5501.92</v>
      </c>
      <c r="K6">
        <v>106</v>
      </c>
      <c r="M6">
        <v>38</v>
      </c>
      <c r="N6">
        <v>38</v>
      </c>
      <c r="O6" s="6">
        <f t="shared" si="0"/>
        <v>0</v>
      </c>
      <c r="P6" s="6">
        <f t="shared" si="1"/>
        <v>5.0000000000000044E-2</v>
      </c>
      <c r="R6">
        <v>35</v>
      </c>
      <c r="S6">
        <v>35</v>
      </c>
      <c r="T6" s="6">
        <f t="shared" si="2"/>
        <v>0.125</v>
      </c>
    </row>
    <row r="7" spans="2:20">
      <c r="B7" t="s">
        <v>4</v>
      </c>
      <c r="C7">
        <v>6</v>
      </c>
      <c r="D7">
        <v>16</v>
      </c>
      <c r="E7">
        <v>70</v>
      </c>
      <c r="G7">
        <v>38</v>
      </c>
      <c r="H7">
        <v>88</v>
      </c>
      <c r="I7">
        <v>9026.42</v>
      </c>
      <c r="K7">
        <v>112</v>
      </c>
      <c r="M7">
        <v>41</v>
      </c>
      <c r="N7">
        <v>47</v>
      </c>
      <c r="O7" s="6">
        <f t="shared" si="0"/>
        <v>0.14634146341463405</v>
      </c>
      <c r="P7" s="6">
        <f t="shared" si="1"/>
        <v>0.46590909090909094</v>
      </c>
      <c r="R7">
        <v>38</v>
      </c>
      <c r="S7">
        <v>43</v>
      </c>
      <c r="T7" s="6">
        <f t="shared" si="2"/>
        <v>0.51136363636363635</v>
      </c>
    </row>
    <row r="8" spans="2:20">
      <c r="B8" t="s">
        <v>5</v>
      </c>
      <c r="C8">
        <v>6</v>
      </c>
      <c r="D8">
        <v>16</v>
      </c>
      <c r="E8">
        <v>70</v>
      </c>
      <c r="G8">
        <v>36</v>
      </c>
      <c r="H8">
        <v>54</v>
      </c>
      <c r="I8">
        <v>9107.9699999999993</v>
      </c>
      <c r="K8">
        <v>114</v>
      </c>
      <c r="M8">
        <v>40</v>
      </c>
      <c r="N8">
        <v>40</v>
      </c>
      <c r="O8" s="6">
        <f t="shared" si="0"/>
        <v>0</v>
      </c>
      <c r="P8" s="6">
        <f t="shared" si="1"/>
        <v>0.2592592592592593</v>
      </c>
      <c r="R8">
        <v>36</v>
      </c>
      <c r="S8">
        <v>40</v>
      </c>
      <c r="T8" s="6">
        <f t="shared" si="2"/>
        <v>0.2592592592592593</v>
      </c>
    </row>
    <row r="9" spans="2:20">
      <c r="B9" t="s">
        <v>6</v>
      </c>
      <c r="C9">
        <v>8</v>
      </c>
      <c r="D9">
        <v>16</v>
      </c>
      <c r="E9">
        <v>90</v>
      </c>
      <c r="G9">
        <v>53</v>
      </c>
      <c r="H9">
        <v>100</v>
      </c>
      <c r="I9">
        <v>13268.67</v>
      </c>
      <c r="K9">
        <v>213</v>
      </c>
      <c r="M9">
        <v>59</v>
      </c>
      <c r="N9">
        <v>64</v>
      </c>
      <c r="O9" s="6">
        <f t="shared" si="0"/>
        <v>8.4745762711864403E-2</v>
      </c>
      <c r="P9" s="6">
        <f t="shared" si="1"/>
        <v>0.36</v>
      </c>
      <c r="R9">
        <v>53</v>
      </c>
      <c r="S9">
        <v>58</v>
      </c>
      <c r="T9" s="6">
        <f t="shared" si="2"/>
        <v>0.42000000000000004</v>
      </c>
    </row>
    <row r="10" spans="2:20">
      <c r="B10" t="s">
        <v>7</v>
      </c>
      <c r="C10">
        <v>8</v>
      </c>
      <c r="D10">
        <v>16</v>
      </c>
      <c r="E10">
        <v>90</v>
      </c>
      <c r="G10">
        <v>49</v>
      </c>
      <c r="H10">
        <v>101</v>
      </c>
      <c r="I10">
        <v>11134.63</v>
      </c>
      <c r="K10">
        <v>163</v>
      </c>
      <c r="M10">
        <v>61</v>
      </c>
      <c r="N10">
        <v>61</v>
      </c>
      <c r="O10" s="6">
        <f t="shared" si="0"/>
        <v>0</v>
      </c>
      <c r="P10" s="6">
        <f t="shared" si="1"/>
        <v>0.39603960396039606</v>
      </c>
      <c r="R10">
        <v>49</v>
      </c>
      <c r="S10">
        <v>59</v>
      </c>
      <c r="T10" s="6">
        <f t="shared" si="2"/>
        <v>0.41584158415841588</v>
      </c>
    </row>
    <row r="11" spans="2:20">
      <c r="B11" t="s">
        <v>8</v>
      </c>
      <c r="C11">
        <v>8</v>
      </c>
      <c r="D11">
        <v>16</v>
      </c>
      <c r="E11">
        <v>90</v>
      </c>
      <c r="G11">
        <v>52</v>
      </c>
      <c r="H11">
        <v>126</v>
      </c>
      <c r="I11">
        <v>21583.13</v>
      </c>
      <c r="K11">
        <v>225</v>
      </c>
      <c r="M11">
        <v>60</v>
      </c>
      <c r="N11">
        <v>66</v>
      </c>
      <c r="O11" s="6">
        <f t="shared" si="0"/>
        <v>0.10000000000000009</v>
      </c>
      <c r="P11" s="6">
        <f t="shared" si="1"/>
        <v>0.47619047619047616</v>
      </c>
      <c r="R11">
        <v>53</v>
      </c>
      <c r="S11">
        <v>60</v>
      </c>
      <c r="T11" s="6">
        <f t="shared" si="2"/>
        <v>0.52380952380952384</v>
      </c>
    </row>
    <row r="12" spans="2:20">
      <c r="B12" t="s">
        <v>9</v>
      </c>
      <c r="C12">
        <v>8</v>
      </c>
      <c r="D12">
        <v>16</v>
      </c>
      <c r="E12">
        <v>90</v>
      </c>
      <c r="G12">
        <v>53</v>
      </c>
      <c r="H12">
        <v>88</v>
      </c>
      <c r="I12">
        <v>7042.38</v>
      </c>
      <c r="K12">
        <v>193</v>
      </c>
      <c r="M12">
        <v>58</v>
      </c>
      <c r="N12">
        <v>61</v>
      </c>
      <c r="O12" s="6">
        <f t="shared" si="0"/>
        <v>5.1724137931034475E-2</v>
      </c>
      <c r="P12" s="6">
        <f t="shared" si="1"/>
        <v>0.30681818181818177</v>
      </c>
      <c r="R12">
        <v>53</v>
      </c>
      <c r="S12">
        <v>58</v>
      </c>
      <c r="T12" s="6">
        <f t="shared" si="2"/>
        <v>0.34090909090909094</v>
      </c>
    </row>
    <row r="13" spans="2:20">
      <c r="B13" t="s">
        <v>10</v>
      </c>
      <c r="C13">
        <v>8</v>
      </c>
      <c r="D13">
        <v>16</v>
      </c>
      <c r="E13">
        <v>90</v>
      </c>
      <c r="G13">
        <v>53</v>
      </c>
      <c r="H13">
        <v>92</v>
      </c>
      <c r="I13">
        <v>13738</v>
      </c>
      <c r="K13">
        <v>193</v>
      </c>
      <c r="M13">
        <v>55</v>
      </c>
      <c r="N13">
        <v>63</v>
      </c>
      <c r="O13" s="6">
        <f t="shared" si="0"/>
        <v>0.1454545454545455</v>
      </c>
      <c r="P13" s="6">
        <f t="shared" si="1"/>
        <v>0.31521739130434778</v>
      </c>
      <c r="R13">
        <v>53</v>
      </c>
      <c r="S13">
        <v>57</v>
      </c>
      <c r="T13" s="6">
        <f t="shared" si="2"/>
        <v>0.38043478260869568</v>
      </c>
    </row>
    <row r="14" spans="2:20">
      <c r="B14" t="s">
        <v>11</v>
      </c>
      <c r="C14">
        <v>6</v>
      </c>
      <c r="D14">
        <v>16</v>
      </c>
      <c r="E14">
        <v>70</v>
      </c>
      <c r="G14">
        <v>55</v>
      </c>
      <c r="H14">
        <v>55</v>
      </c>
      <c r="I14" s="5">
        <v>17326.310000000001</v>
      </c>
      <c r="K14" t="s">
        <v>25</v>
      </c>
      <c r="M14">
        <v>55</v>
      </c>
      <c r="N14">
        <v>55</v>
      </c>
      <c r="O14" s="6">
        <f t="shared" si="0"/>
        <v>0</v>
      </c>
      <c r="P14" s="6">
        <f t="shared" si="1"/>
        <v>0</v>
      </c>
      <c r="R14">
        <v>55</v>
      </c>
      <c r="S14">
        <v>55</v>
      </c>
      <c r="T14" s="6">
        <f t="shared" si="2"/>
        <v>0</v>
      </c>
    </row>
    <row r="15" spans="2:20">
      <c r="B15" t="s">
        <v>12</v>
      </c>
      <c r="C15">
        <v>6</v>
      </c>
      <c r="D15">
        <v>16</v>
      </c>
      <c r="E15">
        <v>70</v>
      </c>
      <c r="G15">
        <v>54</v>
      </c>
      <c r="H15">
        <v>60</v>
      </c>
      <c r="I15" s="5">
        <v>11243.4</v>
      </c>
      <c r="K15" t="s">
        <v>25</v>
      </c>
      <c r="M15">
        <v>58</v>
      </c>
      <c r="N15">
        <v>58</v>
      </c>
      <c r="O15" s="6">
        <f t="shared" si="0"/>
        <v>0</v>
      </c>
      <c r="P15" s="6">
        <f t="shared" si="1"/>
        <v>3.3333333333333326E-2</v>
      </c>
      <c r="R15">
        <v>55</v>
      </c>
      <c r="S15">
        <v>55</v>
      </c>
      <c r="T15" s="6">
        <f t="shared" si="2"/>
        <v>8.333333333333337E-2</v>
      </c>
    </row>
    <row r="16" spans="2:20">
      <c r="B16" t="s">
        <v>13</v>
      </c>
      <c r="C16">
        <v>8</v>
      </c>
      <c r="D16">
        <v>16</v>
      </c>
      <c r="E16">
        <v>90</v>
      </c>
      <c r="G16">
        <v>74</v>
      </c>
      <c r="H16">
        <v>85</v>
      </c>
      <c r="I16" s="5">
        <v>15715.4</v>
      </c>
      <c r="K16" t="s">
        <v>25</v>
      </c>
      <c r="M16">
        <v>76</v>
      </c>
      <c r="N16">
        <v>76</v>
      </c>
      <c r="O16" s="6">
        <f t="shared" si="0"/>
        <v>0</v>
      </c>
      <c r="P16" s="6">
        <f t="shared" si="1"/>
        <v>0.10588235294117643</v>
      </c>
      <c r="R16">
        <v>75</v>
      </c>
      <c r="S16">
        <v>75</v>
      </c>
      <c r="T16" s="6">
        <f t="shared" si="2"/>
        <v>0.11764705882352944</v>
      </c>
    </row>
    <row r="17" spans="2:20">
      <c r="B17" t="s">
        <v>14</v>
      </c>
      <c r="C17">
        <v>8</v>
      </c>
      <c r="D17">
        <v>16</v>
      </c>
      <c r="E17">
        <v>90</v>
      </c>
      <c r="G17">
        <v>74</v>
      </c>
      <c r="H17">
        <v>90</v>
      </c>
      <c r="I17" s="5">
        <v>16235.8</v>
      </c>
      <c r="K17" t="s">
        <v>25</v>
      </c>
      <c r="M17">
        <v>78</v>
      </c>
      <c r="N17">
        <v>78</v>
      </c>
      <c r="O17" s="6">
        <f t="shared" si="0"/>
        <v>0</v>
      </c>
      <c r="P17" s="6">
        <f t="shared" si="1"/>
        <v>0.1333333333333333</v>
      </c>
      <c r="R17">
        <v>74</v>
      </c>
      <c r="S17">
        <v>75</v>
      </c>
      <c r="T17" s="6">
        <f t="shared" si="2"/>
        <v>0.16666666666666663</v>
      </c>
    </row>
  </sheetData>
  <mergeCells count="4">
    <mergeCell ref="B2:E2"/>
    <mergeCell ref="G2:I2"/>
    <mergeCell ref="M2:P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Comparision</vt:lpstr>
      <vt:lpstr>Comparsion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2011-08-01T07:02:52Z</dcterms:modified>
</cp:coreProperties>
</file>